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Redesigned\client\public\"/>
    </mc:Choice>
  </mc:AlternateContent>
  <xr:revisionPtr revIDLastSave="0" documentId="13_ncr:1_{980E1772-32BD-46B5-A9F9-11DD4EE092E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6" roundtripDataChecksum="NGdxnXmV+7BoP2oF+bG4cEitnoA6vcMkjt0EaaQ2VA0="/>
    </ext>
  </extLst>
</workbook>
</file>

<file path=xl/calcChain.xml><?xml version="1.0" encoding="utf-8"?>
<calcChain xmlns="http://schemas.openxmlformats.org/spreadsheetml/2006/main">
  <c r="G46" i="2" l="1"/>
  <c r="G45" i="2"/>
  <c r="G44" i="2"/>
  <c r="G43" i="2"/>
  <c r="G42" i="2"/>
  <c r="G41" i="2"/>
  <c r="G40" i="2"/>
  <c r="G39" i="2"/>
  <c r="G38" i="2"/>
  <c r="G37" i="2"/>
  <c r="G36" i="2"/>
  <c r="G33" i="2"/>
  <c r="G32" i="2"/>
  <c r="G31" i="2"/>
  <c r="G29" i="2"/>
  <c r="G28" i="2"/>
  <c r="G18" i="2"/>
  <c r="G15" i="2"/>
  <c r="G14" i="2"/>
  <c r="G13" i="2"/>
  <c r="G12" i="2"/>
  <c r="G11" i="2"/>
  <c r="G10" i="2"/>
  <c r="G9" i="2"/>
  <c r="G8" i="2"/>
  <c r="G5" i="2"/>
  <c r="G4" i="2"/>
  <c r="G3" i="2"/>
  <c r="G1" i="2"/>
  <c r="G26" i="1"/>
  <c r="G25" i="1"/>
  <c r="G24" i="1"/>
  <c r="G22" i="1"/>
  <c r="G21" i="1"/>
  <c r="G20" i="1"/>
  <c r="G19" i="1"/>
  <c r="G18" i="1"/>
  <c r="G17" i="1"/>
  <c r="G6" i="1"/>
  <c r="G5" i="1"/>
  <c r="G4" i="1"/>
</calcChain>
</file>

<file path=xl/sharedStrings.xml><?xml version="1.0" encoding="utf-8"?>
<sst xmlns="http://schemas.openxmlformats.org/spreadsheetml/2006/main" count="208" uniqueCount="208">
  <si>
    <r>
      <rPr>
        <b/>
        <u/>
        <sz val="12"/>
        <color rgb="FF000000"/>
        <rFont val="Times New Roman"/>
        <family val="1"/>
      </rPr>
      <t xml:space="preserve">TECHNOLOGY EXHIBITION / EXPO AT IIT Guwahati/ other city campus  IN THE MONTH OF Feb.
</t>
    </r>
    <r>
      <rPr>
        <b/>
        <sz val="12"/>
        <color rgb="FF000000"/>
        <rFont val="Times New Roman"/>
        <family val="1"/>
      </rPr>
      <t>2026  (2nd week)</t>
    </r>
  </si>
  <si>
    <r>
      <rPr>
        <b/>
        <sz val="10"/>
        <color theme="1"/>
        <rFont val="Calibri"/>
        <family val="2"/>
      </rPr>
      <t>Item no.</t>
    </r>
  </si>
  <si>
    <r>
      <rPr>
        <b/>
        <sz val="10"/>
        <color theme="1"/>
        <rFont val="Calibri"/>
        <family val="2"/>
      </rPr>
      <t>Particular</t>
    </r>
  </si>
  <si>
    <r>
      <rPr>
        <b/>
        <sz val="10"/>
        <color theme="1"/>
        <rFont val="Calibri"/>
        <family val="2"/>
      </rPr>
      <t>Size</t>
    </r>
  </si>
  <si>
    <r>
      <rPr>
        <b/>
        <sz val="10"/>
        <color theme="1"/>
        <rFont val="Calibri"/>
        <family val="2"/>
      </rPr>
      <t>Qty</t>
    </r>
  </si>
  <si>
    <r>
      <rPr>
        <b/>
        <sz val="10"/>
        <color theme="1"/>
        <rFont val="Calibri"/>
        <family val="2"/>
      </rPr>
      <t>Unit</t>
    </r>
  </si>
  <si>
    <r>
      <rPr>
        <b/>
        <sz val="10"/>
        <color theme="1"/>
        <rFont val="Calibri"/>
        <family val="2"/>
      </rPr>
      <t>Rate/ unit</t>
    </r>
  </si>
  <si>
    <r>
      <rPr>
        <b/>
        <sz val="10"/>
        <color theme="1"/>
        <rFont val="Calibri"/>
        <family val="2"/>
      </rPr>
      <t>Amount</t>
    </r>
  </si>
  <si>
    <r>
      <rPr>
        <b/>
        <sz val="10"/>
        <color theme="1"/>
        <rFont val="Calibri"/>
        <family val="2"/>
      </rPr>
      <t>No of Stal ls</t>
    </r>
  </si>
  <si>
    <r>
      <rPr>
        <b/>
        <sz val="10"/>
        <color theme="1"/>
        <rFont val="Calibri"/>
        <family val="2"/>
      </rPr>
      <t>No. of Day s</t>
    </r>
  </si>
  <si>
    <r>
      <rPr>
        <b/>
        <sz val="10"/>
        <color theme="1"/>
        <rFont val="Calibri"/>
        <family val="2"/>
      </rPr>
      <t>A</t>
    </r>
  </si>
  <si>
    <r>
      <rPr>
        <b/>
        <sz val="10"/>
        <color theme="1"/>
        <rFont val="Calibri"/>
        <family val="2"/>
      </rPr>
      <t>OCTONORM STALL SETUP</t>
    </r>
  </si>
  <si>
    <r>
      <rPr>
        <sz val="10"/>
        <color theme="1"/>
        <rFont val="Calibri"/>
        <family val="2"/>
      </rPr>
      <t>OCTONORM STALL</t>
    </r>
  </si>
  <si>
    <r>
      <rPr>
        <sz val="10"/>
        <color theme="1"/>
        <rFont val="Calibri"/>
        <family val="2"/>
      </rPr>
      <t>3mtrx3m tr</t>
    </r>
  </si>
  <si>
    <r>
      <rPr>
        <sz val="10"/>
        <color theme="1"/>
        <rFont val="Calibri"/>
        <family val="2"/>
      </rPr>
      <t>Sqmt r</t>
    </r>
  </si>
  <si>
    <r>
      <rPr>
        <sz val="10"/>
        <color theme="1"/>
        <rFont val="Calibri"/>
        <family val="2"/>
      </rPr>
      <t>4" HEIGHT WOODEN FLOOR FOR STALL</t>
    </r>
  </si>
  <si>
    <r>
      <rPr>
        <sz val="10"/>
        <color theme="1"/>
        <rFont val="Calibri"/>
        <family val="2"/>
      </rPr>
      <t>10'x10'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</si>
  <si>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</si>
  <si>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NEW CARPET FOR STALL</t>
    </r>
  </si>
  <si>
    <r>
      <rPr>
        <sz val="10"/>
        <color theme="1"/>
        <rFont val="Calibri"/>
        <family val="2"/>
      </rPr>
      <t>10'x10'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</si>
  <si>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</si>
  <si>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FACIA FOR STALL</t>
    </r>
  </si>
  <si>
    <r>
      <rPr>
        <sz val="10"/>
        <color theme="1"/>
        <rFont val="Calibri"/>
        <family val="2"/>
      </rPr>
      <t>10'x1'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</si>
  <si>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</si>
  <si>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TABLE FOR STALL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</si>
  <si>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</si>
  <si>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</si>
  <si>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FIBRE CHAIRS FOR STALLS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</si>
  <si>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</si>
  <si>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</si>
  <si>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GLASS ROUND TABLE FOR EACH STALL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</si>
  <si>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</si>
  <si>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</si>
  <si>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VIP CHAIRS FOR THE GLASS ROUND TABLE FOR EACH STALL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</si>
  <si>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</si>
  <si>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</si>
  <si>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SPOTLIGHTS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</si>
  <si>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</si>
  <si>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</si>
  <si>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PEDESTAL FAN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</si>
  <si>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</si>
  <si>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</si>
  <si>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POWER PLUG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</si>
  <si>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</si>
  <si>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</si>
  <si>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b/>
        <sz val="10"/>
        <color theme="1"/>
        <rFont val="Calibri"/>
        <family val="2"/>
      </rPr>
      <t>TOTAL AMOUNT FOR STALLS</t>
    </r>
  </si>
  <si>
    <r>
      <rPr>
        <b/>
        <sz val="10"/>
        <color theme="1"/>
        <rFont val="Calibri"/>
        <family val="2"/>
      </rPr>
      <t>B</t>
    </r>
  </si>
  <si>
    <r>
      <rPr>
        <b/>
        <sz val="10"/>
        <color theme="1"/>
        <rFont val="Calibri"/>
        <family val="2"/>
      </rPr>
      <t>STAGE SETUP</t>
    </r>
  </si>
  <si>
    <r>
      <rPr>
        <sz val="10"/>
        <color theme="1"/>
        <rFont val="Calibri"/>
        <family val="2"/>
      </rPr>
      <t>MAIN STAGE (PLY TOP STAGE WITH 2 STAIRS &amp; MASKING) 2FT HEIGHT</t>
    </r>
  </si>
  <si>
    <r>
      <rPr>
        <sz val="10"/>
        <color theme="1"/>
        <rFont val="Calibri"/>
        <family val="2"/>
      </rPr>
      <t>32'x20'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</si>
  <si>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</si>
  <si>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NEW CARPET FOR STAGE</t>
    </r>
  </si>
  <si>
    <r>
      <rPr>
        <sz val="10"/>
        <color theme="1"/>
        <rFont val="Calibri"/>
        <family val="2"/>
      </rPr>
      <t>32'x20'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</si>
  <si>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</si>
  <si>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2 FT HEIGHT RISER FOR LED WALL</t>
    </r>
  </si>
  <si>
    <r>
      <rPr>
        <sz val="10"/>
        <color theme="1"/>
        <rFont val="Calibri"/>
        <family val="2"/>
      </rPr>
      <t>16'x4'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</si>
  <si>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</si>
  <si>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NEW CARPET FOR LED RISER</t>
    </r>
  </si>
  <si>
    <r>
      <rPr>
        <sz val="10"/>
        <color theme="1"/>
        <rFont val="Calibri"/>
        <family val="2"/>
      </rPr>
      <t>16'x4'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</si>
  <si>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</si>
  <si>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SPECIAL STAGE CHAIRS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</si>
  <si>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</si>
  <si>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</si>
  <si>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VIP TABLES FOR STAGE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</si>
  <si>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</si>
  <si>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</si>
  <si>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DEEPDAN FOR LAMP LIGHTENING 4FT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</si>
  <si>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</si>
  <si>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</si>
  <si>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ROUND TABLE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</si>
  <si>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</si>
  <si>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</si>
  <si>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FIBRE CHAIRS FOR ROUND TABLES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</si>
  <si>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</si>
  <si>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</si>
  <si>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WELCOME DESK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</si>
  <si>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</si>
  <si>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</si>
  <si>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TABLE FOR SOUND LIGHT &amp; DINING SETUP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</si>
  <si>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</si>
  <si>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</si>
  <si>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PODIUM FOR STAGE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</si>
  <si>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</si>
  <si>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</si>
  <si>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VIP STEEL CHAIRS WITH COVER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</si>
  <si>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</si>
  <si>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</si>
  <si>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SYNTHETIC NET (GROUND NETTING)</t>
    </r>
  </si>
  <si>
    <r>
      <rPr>
        <sz val="10"/>
        <color theme="1"/>
        <rFont val="Calibri"/>
        <family val="2"/>
      </rPr>
      <t>150'X300 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</si>
  <si>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</si>
  <si>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CLOTHE MASKING FOR GROUND SEPERATION</t>
    </r>
  </si>
  <si>
    <r>
      <rPr>
        <sz val="10"/>
        <color theme="1"/>
        <rFont val="Calibri"/>
        <family val="2"/>
      </rPr>
      <t>R.ft</t>
    </r>
  </si>
  <si>
    <r>
      <rPr>
        <b/>
        <sz val="10"/>
        <color theme="1"/>
        <rFont val="Calibri"/>
        <family val="2"/>
      </rPr>
      <t>TOTAL AMOUNT FOR STAGE SETUP</t>
    </r>
  </si>
  <si>
    <r>
      <rPr>
        <b/>
        <sz val="10"/>
        <color theme="1"/>
        <rFont val="Calibri"/>
        <family val="2"/>
      </rPr>
      <t>C</t>
    </r>
  </si>
  <si>
    <r>
      <rPr>
        <b/>
        <sz val="10"/>
        <color theme="1"/>
        <rFont val="Calibri"/>
        <family val="2"/>
      </rPr>
      <t>BRANDING</t>
    </r>
  </si>
  <si>
    <r>
      <rPr>
        <sz val="10"/>
        <color rgb="FF000000"/>
        <rFont val="Calibri"/>
        <family val="2"/>
      </rPr>
      <t xml:space="preserve">BOX GATE (BLACKBACK STAR
</t>
    </r>
    <r>
      <rPr>
        <sz val="10"/>
        <color rgb="FF000000"/>
        <rFont val="Calibri"/>
        <family val="2"/>
      </rPr>
      <t>QUALITY FLEX INSTALLED ON SQUARE MS PIPE)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</si>
  <si>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</si>
  <si>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</si>
  <si>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SIDE CLOSING BACKDROP ON BOTH SIDE OF LED (BLACKBACK STAR QUALITY FLEX INSTALLED ON SQUARE MS PIPE)</t>
    </r>
  </si>
  <si>
    <r>
      <rPr>
        <sz val="10"/>
        <color theme="1"/>
        <rFont val="Calibri"/>
        <family val="2"/>
      </rPr>
      <t>8'x12'</t>
    </r>
  </si>
  <si>
    <r>
      <rPr>
        <sz val="10"/>
        <color theme="1"/>
        <rFont val="Calibri"/>
        <family val="2"/>
      </rPr>
      <t>Sq.Inc h</t>
    </r>
  </si>
  <si>
    <r>
      <rPr>
        <sz val="10"/>
        <color rgb="FF000000"/>
        <rFont val="Calibri"/>
        <family val="2"/>
      </rPr>
      <t xml:space="preserve">WELCOME &amp; OTHER PRODUCT STANDEE (BLACKBACK STAR
</t>
    </r>
    <r>
      <rPr>
        <sz val="10"/>
        <color rgb="FF000000"/>
        <rFont val="Calibri"/>
        <family val="2"/>
      </rPr>
      <t>QUALITY FLEX INSTALLED ON SQUARE MS PIPE)</t>
    </r>
  </si>
  <si>
    <r>
      <rPr>
        <sz val="10"/>
        <color theme="1"/>
        <rFont val="Calibri"/>
        <family val="2"/>
      </rPr>
      <t>3'x6'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</si>
  <si>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</si>
  <si>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SIGNAGES (BLACKBACK STAR QUALITY FLEX INSTALLED ON SQUARE MS PIPE)</t>
    </r>
  </si>
  <si>
    <r>
      <rPr>
        <sz val="10"/>
        <color theme="1"/>
        <rFont val="Calibri"/>
        <family val="2"/>
      </rPr>
      <t>3'x5'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</si>
  <si>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</si>
  <si>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CONSOLE MASKING FRONT</t>
    </r>
  </si>
  <si>
    <r>
      <rPr>
        <sz val="10"/>
        <color theme="1"/>
        <rFont val="Calibri"/>
        <family val="2"/>
      </rPr>
      <t>16'x4'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</si>
  <si>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</si>
  <si>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CONSOLE MASKING SIDE</t>
    </r>
  </si>
  <si>
    <r>
      <rPr>
        <sz val="10"/>
        <color theme="1"/>
        <rFont val="Calibri"/>
        <family val="2"/>
      </rPr>
      <t>4'x4'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</si>
  <si>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</si>
  <si>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LED RISER BRANDING</t>
    </r>
  </si>
  <si>
    <r>
      <rPr>
        <sz val="10"/>
        <color theme="1"/>
        <rFont val="Calibri"/>
        <family val="2"/>
      </rPr>
      <t>16'x2'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</si>
  <si>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</si>
  <si>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STAGE RISER BRANDING</t>
    </r>
  </si>
  <si>
    <r>
      <rPr>
        <sz val="10"/>
        <color theme="1"/>
        <rFont val="Calibri"/>
        <family val="2"/>
      </rPr>
      <t>16'x2'</t>
    </r>
  </si>
  <si>
    <r>
      <rPr>
        <sz val="10"/>
        <color theme="1"/>
        <rFont val="Calibri"/>
        <family val="2"/>
      </rPr>
      <t>Sq.ft.</t>
    </r>
  </si>
  <si>
    <r>
      <rPr>
        <b/>
        <sz val="10"/>
        <color theme="1"/>
        <rFont val="Calibri"/>
        <family val="2"/>
      </rPr>
      <t>TOTAL AMOUNT FOR BRANDING</t>
    </r>
  </si>
  <si>
    <r>
      <rPr>
        <b/>
        <sz val="10"/>
        <color theme="1"/>
        <rFont val="Calibri"/>
        <family val="2"/>
      </rPr>
      <t>D</t>
    </r>
  </si>
  <si>
    <r>
      <rPr>
        <b/>
        <sz val="10"/>
        <color theme="1"/>
        <rFont val="Calibri"/>
        <family val="2"/>
      </rPr>
      <t>AUDIO VISUAL &amp; LIGHT</t>
    </r>
  </si>
  <si>
    <r>
      <rPr>
        <sz val="10"/>
        <color theme="1"/>
        <rFont val="Calibri"/>
        <family val="2"/>
      </rPr>
      <t>3.8/9P3 LED VIDEO WALL INCLUDING SLIDE CHANGER CLEAR WALL</t>
    </r>
  </si>
  <si>
    <r>
      <rPr>
        <sz val="10"/>
        <color theme="1"/>
        <rFont val="Calibri"/>
        <family val="2"/>
      </rPr>
      <t>16'X10'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</si>
  <si>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</si>
  <si>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LINE ARRAY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</si>
  <si>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</si>
  <si>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</si>
  <si>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BWC SPEAKERS FOR DELAY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</si>
  <si>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</si>
  <si>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</si>
  <si>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MONITOR SPEAKER FOR STAGE (MONITOR &amp; SIDE FILL)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</si>
  <si>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</si>
  <si>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</si>
  <si>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SHURE MICROPHONE HANDHELD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</si>
  <si>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</si>
  <si>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</si>
  <si>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CORDLESSS MICROPHONE SH-58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</si>
  <si>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</si>
  <si>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</si>
  <si>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AUDIO MIXER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</si>
  <si>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</si>
  <si>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</si>
  <si>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PITCH CONTROL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</si>
  <si>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</si>
  <si>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</si>
  <si>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DJ MIXER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</si>
  <si>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</si>
  <si>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</si>
  <si>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T-TRUSS FOR LIGHT (2 NOS) (14FT HEIGHT &amp; 8FT WIDE)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</si>
  <si>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</si>
  <si>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Sq.ft.</t>
    </r>
  </si>
  <si>
    <r>
      <rPr>
        <sz val="10"/>
        <color theme="1"/>
        <rFont val="Calibri"/>
        <family val="2"/>
      </rPr>
      <t>LED PARKENS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</si>
  <si>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</si>
  <si>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</si>
  <si>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SHEILD BEAM PARK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</si>
  <si>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</si>
  <si>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</si>
  <si>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COMPLETE SYSTEM POWER PACK + MIXER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</si>
  <si>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</si>
  <si>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</si>
  <si>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PEDESTIAL FAN WITH ALL FITTING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</si>
  <si>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</si>
  <si>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</si>
  <si>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65 KWA GENSET FOR STALL, LED WALL &amp; BACKUP (8 HOURS RUNNING WITH DIESEL)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</si>
  <si>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</si>
  <si>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</si>
  <si>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125 KWA GENSET FOR SOUND &amp; LIGHT (8 HOURS RUNNING WITH DIESEL)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</si>
  <si>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</si>
  <si>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</si>
  <si>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b/>
        <sz val="10"/>
        <color theme="1"/>
        <rFont val="Calibri"/>
        <family val="2"/>
      </rPr>
      <t>TOTAL AMOUNT FOR AUDIO VISUAL &amp; LIGHT</t>
    </r>
  </si>
  <si>
    <r>
      <rPr>
        <b/>
        <sz val="10"/>
        <color theme="1"/>
        <rFont val="Calibri"/>
        <family val="2"/>
      </rPr>
      <t>E</t>
    </r>
  </si>
  <si>
    <r>
      <rPr>
        <b/>
        <sz val="10"/>
        <color theme="1"/>
        <rFont val="Calibri"/>
        <family val="2"/>
      </rPr>
      <t>MANPOWER, SUPPORT STAFF &amp; F&amp;B</t>
    </r>
  </si>
  <si>
    <r>
      <rPr>
        <sz val="10"/>
        <color theme="1"/>
        <rFont val="Calibri"/>
        <family val="2"/>
      </rPr>
      <t>REGISTRATION DESK STAFF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</si>
  <si>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</si>
  <si>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</si>
  <si>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SECURITY GUARDS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</si>
  <si>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</si>
  <si>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</si>
  <si>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HOUSEKEEPING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</si>
  <si>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</si>
  <si>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</si>
  <si>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NATIONAL LEVEL ANCHOR FOR 8 HOUR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</si>
  <si>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</si>
  <si>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</si>
  <si>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VOLUNTEER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</si>
  <si>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</si>
  <si>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</si>
  <si>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HOSTESS FOR STAGE COORDINATION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</si>
  <si>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</si>
  <si>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</si>
  <si>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MORNING &amp; EVENING  SNACKS + TEA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</si>
  <si>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</si>
  <si>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</si>
  <si>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LUNCH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</si>
  <si>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</si>
  <si>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</si>
  <si>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theme="1"/>
        <rFont val="Calibri"/>
        <family val="2"/>
      </rPr>
      <t>PACKAGED DRINKING WATER BOTTLE 500 ML OF ISI MAKE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</si>
  <si>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</si>
  <si>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No's</t>
    </r>
  </si>
  <si>
    <r>
      <rPr>
        <sz val="10"/>
        <color rgb="FF000000"/>
        <rFont val="Calibri"/>
        <family val="2"/>
      </rPr>
      <t xml:space="preserve">PHOTOGRAPHER (WITH LATEST
</t>
    </r>
    <r>
      <rPr>
        <sz val="10"/>
        <color rgb="FF000000"/>
        <rFont val="Calibri"/>
        <family val="2"/>
      </rPr>
      <t>HIGH-DEFINITION CAMERA) WITH CD/DVD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</si>
  <si>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</si>
  <si>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Per Hour</t>
    </r>
  </si>
  <si>
    <r>
      <rPr>
        <sz val="10"/>
        <color theme="1"/>
        <rFont val="Calibri"/>
        <family val="2"/>
      </rPr>
      <t>VIDEOGRAPHER (WITH LATEST HIGH-DEFINITION CAMERA) WITH CD/DVD</t>
    </r>
  </si>
  <si>
    <r>
      <rPr>
        <sz val="10"/>
        <color theme="1"/>
        <rFont val="Calibri"/>
        <family val="2"/>
      </rPr>
      <t>N.A.</t>
    </r>
  </si>
  <si>
    <r>
      <rPr>
        <sz val="10"/>
        <color theme="1"/>
        <rFont val="Calibri"/>
        <family val="2"/>
      </rPr>
      <t>Per Hour</t>
    </r>
  </si>
  <si>
    <r>
      <rPr>
        <b/>
        <sz val="9"/>
        <color theme="1"/>
        <rFont val="Calibri"/>
        <family val="2"/>
      </rPr>
      <t>TOTAL AMOUNT FOR MANPOWER, SUPPORT STAFF &amp; F&amp;B</t>
    </r>
  </si>
  <si>
    <t xml:space="preserve">Overall transportation  fooding &amp; loding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</si>
</sst>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scheme val="minor"/>
    </font>
    <font>
      <sz val="10"/>
      <color rgb="FF000000"/>
      <name val="Times New Roman"/>
      <family val="1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Times New Roman"/>
      <family val="1"/>
    </font>
    <font>
      <b/>
      <sz val="10"/>
      <color rgb="FF000000"/>
      <name val="Calibri"/>
      <family val="2"/>
    </font>
    <font>
      <sz val="10"/>
      <color theme="1"/>
      <name val="Times New Roman"/>
      <family val="1"/>
      <scheme val="minor"/>
    </font>
    <font>
      <b/>
      <sz val="9"/>
      <color theme="1"/>
      <name val="Calibri"/>
      <family val="2"/>
    </font>
    <font>
      <b/>
      <u/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C4BB96"/>
        <bgColor rgb="FFC4BB9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vertical="top" wrapText="1"/>
    </xf>
    <xf numFmtId="1" fontId="6" fillId="4" borderId="1" xfId="0" applyNumberFormat="1" applyFont="1" applyFill="1" applyBorder="1" applyAlignment="1">
      <alignment horizontal="left" vertical="top" shrinkToFit="1"/>
    </xf>
    <xf numFmtId="0" fontId="1" fillId="4" borderId="1" xfId="0" applyFont="1" applyFill="1" applyBorder="1" applyAlignment="1">
      <alignment horizontal="left" wrapText="1"/>
    </xf>
    <xf numFmtId="0" fontId="7" fillId="0" borderId="0" xfId="0" applyFont="1" applyAlignment="1">
      <alignment horizontal="left" vertical="top"/>
    </xf>
    <xf numFmtId="1" fontId="3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top" wrapText="1"/>
    </xf>
    <xf numFmtId="0" fontId="8" fillId="4" borderId="8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wrapText="1"/>
    </xf>
    <xf numFmtId="0" fontId="1" fillId="4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sqref="A1:K1"/>
    </sheetView>
  </sheetViews>
  <sheetFormatPr defaultColWidth="14.44140625" defaultRowHeight="15" customHeight="1" x14ac:dyDescent="0.25"/>
  <cols>
    <col min="1" max="1" width="8.33203125" customWidth="1"/>
    <col min="2" max="2" width="37.33203125" customWidth="1"/>
    <col min="3" max="3" width="11.44140625" customWidth="1"/>
    <col min="4" max="4" width="10" customWidth="1"/>
    <col min="5" max="5" width="11" customWidth="1"/>
    <col min="6" max="6" width="12.88671875" customWidth="1"/>
    <col min="7" max="7" width="22.109375" customWidth="1"/>
    <col min="8" max="8" width="13.88671875" customWidth="1"/>
    <col min="9" max="9" width="6.44140625" customWidth="1"/>
    <col min="10" max="10" width="16" customWidth="1"/>
    <col min="11" max="11" width="2.88671875" customWidth="1"/>
    <col min="12" max="26" width="8.6640625" customWidth="1"/>
  </cols>
  <sheetData>
    <row r="1" spans="1:11" ht="34.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56.25" customHeight="1" x14ac:dyDescent="0.25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4"/>
    </row>
    <row r="3" spans="1:11" ht="15" customHeight="1" x14ac:dyDescent="0.25">
      <c r="A3" s="5" t="s">
        <v>10</v>
      </c>
      <c r="B3" s="5" t="s">
        <v>11</v>
      </c>
      <c r="C3" s="6"/>
      <c r="D3" s="6"/>
      <c r="E3" s="6"/>
      <c r="F3" s="6"/>
      <c r="G3" s="7"/>
      <c r="H3" s="6"/>
      <c r="I3" s="6"/>
      <c r="J3" s="6"/>
    </row>
    <row r="4" spans="1:11" ht="33.75" customHeight="1" x14ac:dyDescent="0.25">
      <c r="A4" s="8">
        <v>1</v>
      </c>
      <c r="B4" s="9" t="s">
        <v>12</v>
      </c>
      <c r="C4" s="10" t="s">
        <v>13</v>
      </c>
      <c r="D4" s="8">
        <v>9</v>
      </c>
      <c r="E4" s="11" t="s">
        <v>14</v>
      </c>
      <c r="F4" s="12">
        <v>600</v>
      </c>
      <c r="G4" s="12">
        <f t="shared" ref="G4:G6" si="0">F4*D4</f>
        <v>5400</v>
      </c>
      <c r="H4" s="34"/>
      <c r="I4" s="35"/>
      <c r="J4" s="36"/>
    </row>
    <row r="5" spans="1:11" ht="25.5" customHeight="1" x14ac:dyDescent="0.25">
      <c r="A5" s="8">
        <v>2</v>
      </c>
      <c r="B5" s="10" t="s">
        <v>15</v>
      </c>
      <c r="C5" s="9" t="s">
        <v>16</v>
      </c>
      <c r="D5" s="8">
        <v>100</v>
      </c>
      <c r="E5" s="11" t="s">
        <v>17</v>
      </c>
      <c r="F5" s="13">
        <v>45</v>
      </c>
      <c r="G5" s="13">
        <f t="shared" si="0"/>
        <v>4500</v>
      </c>
      <c r="H5" s="34"/>
      <c r="I5" s="35"/>
      <c r="J5" s="36"/>
    </row>
    <row r="6" spans="1:11" ht="15" customHeight="1" x14ac:dyDescent="0.25">
      <c r="A6" s="8">
        <v>3</v>
      </c>
      <c r="B6" s="9" t="s">
        <v>18</v>
      </c>
      <c r="C6" s="9" t="s">
        <v>19</v>
      </c>
      <c r="D6" s="8">
        <v>100</v>
      </c>
      <c r="E6" s="11" t="s">
        <v>20</v>
      </c>
      <c r="F6" s="14">
        <v>15</v>
      </c>
      <c r="G6" s="14">
        <f t="shared" si="0"/>
        <v>1500</v>
      </c>
      <c r="H6" s="37"/>
      <c r="I6" s="35"/>
      <c r="J6" s="36"/>
    </row>
    <row r="7" spans="1:11" ht="15" customHeight="1" x14ac:dyDescent="0.25">
      <c r="A7" s="8">
        <v>4</v>
      </c>
      <c r="B7" s="9" t="s">
        <v>21</v>
      </c>
      <c r="C7" s="9" t="s">
        <v>22</v>
      </c>
      <c r="D7" s="8">
        <v>10</v>
      </c>
      <c r="E7" s="11" t="s">
        <v>23</v>
      </c>
      <c r="F7" s="14">
        <v>60</v>
      </c>
      <c r="G7" s="15">
        <v>600</v>
      </c>
      <c r="H7" s="37"/>
      <c r="I7" s="35"/>
      <c r="J7" s="36"/>
    </row>
    <row r="8" spans="1:11" ht="15" customHeight="1" x14ac:dyDescent="0.25">
      <c r="A8" s="8">
        <v>5</v>
      </c>
      <c r="B8" s="9" t="s">
        <v>24</v>
      </c>
      <c r="C8" s="9" t="s">
        <v>25</v>
      </c>
      <c r="D8" s="8">
        <v>1</v>
      </c>
      <c r="E8" s="11" t="s">
        <v>26</v>
      </c>
      <c r="F8" s="14">
        <v>800</v>
      </c>
      <c r="G8" s="15">
        <v>800</v>
      </c>
      <c r="H8" s="37"/>
      <c r="I8" s="35"/>
      <c r="J8" s="36"/>
    </row>
    <row r="9" spans="1:11" ht="15" customHeight="1" x14ac:dyDescent="0.25">
      <c r="A9" s="8">
        <v>6</v>
      </c>
      <c r="B9" s="9" t="s">
        <v>27</v>
      </c>
      <c r="C9" s="9" t="s">
        <v>28</v>
      </c>
      <c r="D9" s="8">
        <v>2</v>
      </c>
      <c r="E9" s="11" t="s">
        <v>29</v>
      </c>
      <c r="F9" s="14">
        <v>200</v>
      </c>
      <c r="G9" s="15">
        <v>400</v>
      </c>
      <c r="H9" s="37"/>
      <c r="I9" s="35"/>
      <c r="J9" s="36"/>
    </row>
    <row r="10" spans="1:11" ht="25.5" customHeight="1" x14ac:dyDescent="0.25">
      <c r="A10" s="8">
        <v>7</v>
      </c>
      <c r="B10" s="10" t="s">
        <v>30</v>
      </c>
      <c r="C10" s="9" t="s">
        <v>31</v>
      </c>
      <c r="D10" s="8">
        <v>1</v>
      </c>
      <c r="E10" s="11" t="s">
        <v>32</v>
      </c>
      <c r="F10" s="13">
        <v>800</v>
      </c>
      <c r="G10" s="12">
        <v>800</v>
      </c>
      <c r="H10" s="34"/>
      <c r="I10" s="35"/>
      <c r="J10" s="36"/>
    </row>
    <row r="11" spans="1:11" ht="25.5" customHeight="1" x14ac:dyDescent="0.25">
      <c r="A11" s="8">
        <v>8</v>
      </c>
      <c r="B11" s="10" t="s">
        <v>33</v>
      </c>
      <c r="C11" s="9" t="s">
        <v>34</v>
      </c>
      <c r="D11" s="8">
        <v>3</v>
      </c>
      <c r="E11" s="11" t="s">
        <v>35</v>
      </c>
      <c r="F11" s="13">
        <v>1000</v>
      </c>
      <c r="G11" s="12">
        <v>3000</v>
      </c>
      <c r="H11" s="34"/>
      <c r="I11" s="35"/>
      <c r="J11" s="36"/>
    </row>
    <row r="12" spans="1:11" ht="15" customHeight="1" x14ac:dyDescent="0.25">
      <c r="A12" s="8">
        <v>9</v>
      </c>
      <c r="B12" s="9" t="s">
        <v>36</v>
      </c>
      <c r="C12" s="9" t="s">
        <v>37</v>
      </c>
      <c r="D12" s="8">
        <v>4</v>
      </c>
      <c r="E12" s="11" t="s">
        <v>38</v>
      </c>
      <c r="F12" s="14">
        <v>250</v>
      </c>
      <c r="G12" s="15">
        <v>1000</v>
      </c>
      <c r="H12" s="37"/>
      <c r="I12" s="35"/>
      <c r="J12" s="36"/>
    </row>
    <row r="13" spans="1:11" ht="15" customHeight="1" x14ac:dyDescent="0.25">
      <c r="A13" s="8">
        <v>10</v>
      </c>
      <c r="B13" s="9" t="s">
        <v>39</v>
      </c>
      <c r="C13" s="9" t="s">
        <v>40</v>
      </c>
      <c r="D13" s="8">
        <v>1</v>
      </c>
      <c r="E13" s="11" t="s">
        <v>41</v>
      </c>
      <c r="F13" s="14">
        <v>450</v>
      </c>
      <c r="G13" s="15">
        <v>450</v>
      </c>
      <c r="H13" s="37"/>
      <c r="I13" s="35"/>
      <c r="J13" s="36"/>
    </row>
    <row r="14" spans="1:11" ht="15" customHeight="1" x14ac:dyDescent="0.25">
      <c r="A14" s="8">
        <v>11</v>
      </c>
      <c r="B14" s="9" t="s">
        <v>42</v>
      </c>
      <c r="C14" s="9" t="s">
        <v>43</v>
      </c>
      <c r="D14" s="8">
        <v>1</v>
      </c>
      <c r="E14" s="11" t="s">
        <v>44</v>
      </c>
      <c r="F14" s="14">
        <v>125</v>
      </c>
      <c r="G14" s="15">
        <v>125</v>
      </c>
      <c r="H14" s="37"/>
      <c r="I14" s="35"/>
      <c r="J14" s="36"/>
    </row>
    <row r="15" spans="1:11" ht="15" customHeight="1" x14ac:dyDescent="0.25">
      <c r="A15" s="16"/>
      <c r="B15" s="17" t="s">
        <v>45</v>
      </c>
      <c r="C15" s="16"/>
      <c r="D15" s="16"/>
      <c r="E15" s="16"/>
      <c r="F15" s="18">
        <v>60</v>
      </c>
      <c r="G15" s="19">
        <v>18575</v>
      </c>
      <c r="H15" s="38"/>
      <c r="I15" s="35"/>
      <c r="J15" s="36"/>
    </row>
    <row r="16" spans="1:11" ht="15" customHeight="1" x14ac:dyDescent="0.25">
      <c r="A16" s="5" t="s">
        <v>46</v>
      </c>
      <c r="B16" s="5" t="s">
        <v>47</v>
      </c>
      <c r="C16" s="6"/>
      <c r="D16" s="6"/>
      <c r="E16" s="6"/>
      <c r="F16" s="6"/>
      <c r="G16" s="6"/>
      <c r="H16" s="39"/>
      <c r="I16" s="35"/>
      <c r="J16" s="36"/>
    </row>
    <row r="17" spans="1:10" ht="25.5" customHeight="1" x14ac:dyDescent="0.25">
      <c r="A17" s="8">
        <v>1</v>
      </c>
      <c r="B17" s="10" t="s">
        <v>48</v>
      </c>
      <c r="C17" s="9" t="s">
        <v>49</v>
      </c>
      <c r="D17" s="8">
        <v>640</v>
      </c>
      <c r="E17" s="11" t="s">
        <v>50</v>
      </c>
      <c r="F17" s="13">
        <v>45</v>
      </c>
      <c r="G17" s="13">
        <f t="shared" ref="G17:G22" si="1">F17*D17</f>
        <v>28800</v>
      </c>
      <c r="H17" s="34"/>
      <c r="I17" s="35"/>
      <c r="J17" s="36"/>
    </row>
    <row r="18" spans="1:10" ht="15" customHeight="1" x14ac:dyDescent="0.25">
      <c r="A18" s="8">
        <v>2</v>
      </c>
      <c r="B18" s="9" t="s">
        <v>51</v>
      </c>
      <c r="C18" s="9" t="s">
        <v>52</v>
      </c>
      <c r="D18" s="8">
        <v>640</v>
      </c>
      <c r="E18" s="11" t="s">
        <v>53</v>
      </c>
      <c r="F18" s="14">
        <v>15</v>
      </c>
      <c r="G18" s="14">
        <f t="shared" si="1"/>
        <v>9600</v>
      </c>
      <c r="H18" s="37"/>
      <c r="I18" s="35"/>
      <c r="J18" s="36"/>
    </row>
    <row r="19" spans="1:10" ht="15" customHeight="1" x14ac:dyDescent="0.25">
      <c r="A19" s="8">
        <v>3</v>
      </c>
      <c r="B19" s="9" t="s">
        <v>54</v>
      </c>
      <c r="C19" s="9" t="s">
        <v>55</v>
      </c>
      <c r="D19" s="8">
        <v>64</v>
      </c>
      <c r="E19" s="11" t="s">
        <v>56</v>
      </c>
      <c r="F19" s="14">
        <v>45</v>
      </c>
      <c r="G19" s="14">
        <f t="shared" si="1"/>
        <v>2880</v>
      </c>
      <c r="H19" s="37"/>
      <c r="I19" s="35"/>
      <c r="J19" s="36"/>
    </row>
    <row r="20" spans="1:10" ht="15" customHeight="1" x14ac:dyDescent="0.25">
      <c r="A20" s="8">
        <v>4</v>
      </c>
      <c r="B20" s="9" t="s">
        <v>57</v>
      </c>
      <c r="C20" s="9" t="s">
        <v>58</v>
      </c>
      <c r="D20" s="8">
        <v>64</v>
      </c>
      <c r="E20" s="11" t="s">
        <v>59</v>
      </c>
      <c r="F20" s="14">
        <v>15</v>
      </c>
      <c r="G20" s="14">
        <f t="shared" si="1"/>
        <v>960</v>
      </c>
      <c r="H20" s="37"/>
      <c r="I20" s="35"/>
      <c r="J20" s="36"/>
    </row>
    <row r="21" spans="1:10" ht="15" customHeight="1" x14ac:dyDescent="0.25">
      <c r="A21" s="8">
        <v>5</v>
      </c>
      <c r="B21" s="9" t="s">
        <v>60</v>
      </c>
      <c r="C21" s="9" t="s">
        <v>61</v>
      </c>
      <c r="D21" s="8">
        <v>9</v>
      </c>
      <c r="E21" s="11" t="s">
        <v>62</v>
      </c>
      <c r="F21" s="14">
        <v>1000</v>
      </c>
      <c r="G21" s="14">
        <f t="shared" si="1"/>
        <v>9000</v>
      </c>
      <c r="H21" s="37"/>
      <c r="I21" s="35"/>
      <c r="J21" s="36"/>
    </row>
    <row r="22" spans="1:10" ht="15" customHeight="1" x14ac:dyDescent="0.25">
      <c r="A22" s="8">
        <v>6</v>
      </c>
      <c r="B22" s="9" t="s">
        <v>63</v>
      </c>
      <c r="C22" s="9" t="s">
        <v>64</v>
      </c>
      <c r="D22" s="8">
        <v>5</v>
      </c>
      <c r="E22" s="11" t="s">
        <v>65</v>
      </c>
      <c r="F22" s="14">
        <v>1200</v>
      </c>
      <c r="G22" s="14">
        <f t="shared" si="1"/>
        <v>6000</v>
      </c>
      <c r="H22" s="37"/>
      <c r="I22" s="35"/>
      <c r="J22" s="36"/>
    </row>
    <row r="23" spans="1:10" ht="25.5" customHeight="1" x14ac:dyDescent="0.25">
      <c r="A23" s="8">
        <v>7</v>
      </c>
      <c r="B23" s="10" t="s">
        <v>66</v>
      </c>
      <c r="C23" s="9" t="s">
        <v>67</v>
      </c>
      <c r="D23" s="8">
        <v>1</v>
      </c>
      <c r="E23" s="11" t="s">
        <v>68</v>
      </c>
      <c r="F23" s="13">
        <v>2000</v>
      </c>
      <c r="G23" s="12">
        <v>2000</v>
      </c>
      <c r="H23" s="34"/>
      <c r="I23" s="35"/>
      <c r="J23" s="36"/>
    </row>
    <row r="24" spans="1:10" ht="15" customHeight="1" x14ac:dyDescent="0.25">
      <c r="A24" s="8">
        <v>8</v>
      </c>
      <c r="B24" s="9" t="s">
        <v>69</v>
      </c>
      <c r="C24" s="9" t="s">
        <v>70</v>
      </c>
      <c r="D24" s="8">
        <v>15</v>
      </c>
      <c r="E24" s="11" t="s">
        <v>71</v>
      </c>
      <c r="F24" s="14">
        <v>550</v>
      </c>
      <c r="G24" s="14">
        <f t="shared" ref="G24:G26" si="2">F24*D24</f>
        <v>8250</v>
      </c>
      <c r="H24" s="37"/>
      <c r="I24" s="35"/>
      <c r="J24" s="36"/>
    </row>
    <row r="25" spans="1:10" ht="15" customHeight="1" x14ac:dyDescent="0.25">
      <c r="A25" s="8">
        <v>9</v>
      </c>
      <c r="B25" s="9" t="s">
        <v>72</v>
      </c>
      <c r="C25" s="9" t="s">
        <v>73</v>
      </c>
      <c r="D25" s="8">
        <v>60</v>
      </c>
      <c r="E25" s="11" t="s">
        <v>74</v>
      </c>
      <c r="F25" s="14">
        <v>200</v>
      </c>
      <c r="G25" s="14">
        <f t="shared" si="2"/>
        <v>12000</v>
      </c>
      <c r="H25" s="37"/>
      <c r="I25" s="35"/>
      <c r="J25" s="36"/>
    </row>
    <row r="26" spans="1:10" ht="15" customHeight="1" x14ac:dyDescent="0.25">
      <c r="A26" s="8">
        <v>10</v>
      </c>
      <c r="B26" s="9" t="s">
        <v>75</v>
      </c>
      <c r="C26" s="9" t="s">
        <v>76</v>
      </c>
      <c r="D26" s="8">
        <v>2</v>
      </c>
      <c r="E26" s="11" t="s">
        <v>77</v>
      </c>
      <c r="F26" s="14">
        <v>250</v>
      </c>
      <c r="G26" s="14">
        <f t="shared" si="2"/>
        <v>500</v>
      </c>
      <c r="H26" s="37"/>
      <c r="I26" s="35"/>
      <c r="J26" s="36"/>
    </row>
    <row r="27" spans="1:10" ht="12.75" customHeight="1" x14ac:dyDescent="0.25">
      <c r="G27" s="20">
        <v>79900</v>
      </c>
    </row>
    <row r="28" spans="1:10" ht="12.75" customHeight="1" x14ac:dyDescent="0.25"/>
    <row r="29" spans="1:10" ht="12.75" customHeight="1" x14ac:dyDescent="0.25"/>
    <row r="30" spans="1:10" ht="12.75" customHeight="1" x14ac:dyDescent="0.25"/>
    <row r="31" spans="1:10" ht="12.75" customHeight="1" x14ac:dyDescent="0.25"/>
    <row r="32" spans="1:10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4">
    <mergeCell ref="H25:J25"/>
    <mergeCell ref="H26:J26"/>
    <mergeCell ref="H17:J17"/>
    <mergeCell ref="H18:J18"/>
    <mergeCell ref="H19:J19"/>
    <mergeCell ref="H20:J20"/>
    <mergeCell ref="H21:J21"/>
    <mergeCell ref="H22:J22"/>
    <mergeCell ref="H23:J23"/>
    <mergeCell ref="H13:J13"/>
    <mergeCell ref="H14:J14"/>
    <mergeCell ref="H15:J15"/>
    <mergeCell ref="H16:J16"/>
    <mergeCell ref="H24:J24"/>
    <mergeCell ref="H8:J8"/>
    <mergeCell ref="H9:J9"/>
    <mergeCell ref="H10:J10"/>
    <mergeCell ref="H11:J11"/>
    <mergeCell ref="H12:J12"/>
    <mergeCell ref="A1:K1"/>
    <mergeCell ref="H4:J4"/>
    <mergeCell ref="H5:J5"/>
    <mergeCell ref="H6:J6"/>
    <mergeCell ref="H7:J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4140625" defaultRowHeight="15" customHeight="1" x14ac:dyDescent="0.25"/>
  <cols>
    <col min="1" max="1" width="8.33203125" customWidth="1"/>
    <col min="2" max="2" width="37.33203125" customWidth="1"/>
    <col min="3" max="3" width="11.44140625" customWidth="1"/>
    <col min="4" max="4" width="10" customWidth="1"/>
    <col min="5" max="5" width="8" customWidth="1"/>
    <col min="6" max="6" width="11.44140625" customWidth="1"/>
    <col min="7" max="7" width="13" customWidth="1"/>
    <col min="8" max="9" width="6.44140625" customWidth="1"/>
    <col min="10" max="10" width="16" customWidth="1"/>
    <col min="11" max="26" width="8.6640625" customWidth="1"/>
  </cols>
  <sheetData>
    <row r="1" spans="1:10" ht="25.5" customHeight="1" x14ac:dyDescent="0.25">
      <c r="A1" s="8">
        <v>11</v>
      </c>
      <c r="B1" s="10" t="s">
        <v>78</v>
      </c>
      <c r="C1" s="9" t="s">
        <v>79</v>
      </c>
      <c r="D1" s="8">
        <v>20</v>
      </c>
      <c r="E1" s="9" t="s">
        <v>80</v>
      </c>
      <c r="F1" s="13">
        <v>200</v>
      </c>
      <c r="G1" s="13">
        <f>F1*D1</f>
        <v>4000</v>
      </c>
      <c r="H1" s="13"/>
      <c r="I1" s="13"/>
      <c r="J1" s="13"/>
    </row>
    <row r="2" spans="1:10" ht="15" customHeight="1" x14ac:dyDescent="0.25">
      <c r="A2" s="8">
        <v>12</v>
      </c>
      <c r="B2" s="9" t="s">
        <v>81</v>
      </c>
      <c r="C2" s="9" t="s">
        <v>82</v>
      </c>
      <c r="D2" s="8">
        <v>2</v>
      </c>
      <c r="E2" s="9" t="s">
        <v>83</v>
      </c>
      <c r="F2" s="14">
        <v>2000</v>
      </c>
      <c r="G2" s="15">
        <v>4000</v>
      </c>
      <c r="H2" s="14"/>
      <c r="I2" s="14"/>
      <c r="J2" s="14"/>
    </row>
    <row r="3" spans="1:10" ht="15" customHeight="1" x14ac:dyDescent="0.25">
      <c r="A3" s="8">
        <v>13</v>
      </c>
      <c r="B3" s="9" t="s">
        <v>84</v>
      </c>
      <c r="C3" s="9" t="s">
        <v>85</v>
      </c>
      <c r="D3" s="8">
        <v>400</v>
      </c>
      <c r="E3" s="9" t="s">
        <v>86</v>
      </c>
      <c r="F3" s="15">
        <v>90</v>
      </c>
      <c r="G3" s="14">
        <f>90*400</f>
        <v>36000</v>
      </c>
      <c r="H3" s="14"/>
      <c r="I3" s="14"/>
      <c r="J3" s="14"/>
    </row>
    <row r="4" spans="1:10" ht="25.5" customHeight="1" x14ac:dyDescent="0.25">
      <c r="A4" s="8">
        <v>14</v>
      </c>
      <c r="B4" s="9" t="s">
        <v>87</v>
      </c>
      <c r="C4" s="10" t="s">
        <v>88</v>
      </c>
      <c r="D4" s="8">
        <v>45000</v>
      </c>
      <c r="E4" s="9" t="s">
        <v>89</v>
      </c>
      <c r="F4" s="13">
        <v>1.5</v>
      </c>
      <c r="G4" s="13">
        <f t="shared" ref="G4:G5" si="0">F4*D4</f>
        <v>67500</v>
      </c>
      <c r="H4" s="13"/>
      <c r="I4" s="13"/>
      <c r="J4" s="13"/>
    </row>
    <row r="5" spans="1:10" ht="25.5" customHeight="1" x14ac:dyDescent="0.25">
      <c r="A5" s="8">
        <v>15</v>
      </c>
      <c r="B5" s="10" t="s">
        <v>90</v>
      </c>
      <c r="C5" s="8">
        <v>900</v>
      </c>
      <c r="D5" s="8">
        <v>900</v>
      </c>
      <c r="E5" s="9" t="s">
        <v>91</v>
      </c>
      <c r="F5" s="13">
        <v>20</v>
      </c>
      <c r="G5" s="13">
        <f t="shared" si="0"/>
        <v>18000</v>
      </c>
      <c r="H5" s="13"/>
      <c r="I5" s="13"/>
      <c r="J5" s="13"/>
    </row>
    <row r="6" spans="1:10" ht="15" customHeight="1" x14ac:dyDescent="0.25">
      <c r="A6" s="16"/>
      <c r="B6" s="17" t="s">
        <v>92</v>
      </c>
      <c r="C6" s="16"/>
      <c r="D6" s="16"/>
      <c r="E6" s="16"/>
      <c r="F6" s="16"/>
      <c r="G6" s="16"/>
      <c r="H6" s="16"/>
      <c r="I6" s="16"/>
      <c r="J6" s="16"/>
    </row>
    <row r="7" spans="1:10" ht="15" customHeight="1" x14ac:dyDescent="0.25">
      <c r="A7" s="5" t="s">
        <v>93</v>
      </c>
      <c r="B7" s="5" t="s">
        <v>94</v>
      </c>
      <c r="C7" s="6"/>
      <c r="D7" s="6"/>
      <c r="E7" s="6"/>
      <c r="F7" s="6"/>
      <c r="G7" s="6"/>
      <c r="H7" s="6"/>
      <c r="I7" s="6"/>
      <c r="J7" s="6"/>
    </row>
    <row r="8" spans="1:10" ht="38.25" customHeight="1" x14ac:dyDescent="0.25">
      <c r="A8" s="21">
        <v>1</v>
      </c>
      <c r="B8" s="22" t="s">
        <v>95</v>
      </c>
      <c r="C8" s="23" t="s">
        <v>96</v>
      </c>
      <c r="D8" s="21">
        <v>600</v>
      </c>
      <c r="E8" s="23" t="s">
        <v>97</v>
      </c>
      <c r="F8" s="13">
        <v>45</v>
      </c>
      <c r="G8" s="13">
        <f t="shared" ref="G8:G15" si="1">F8*D8</f>
        <v>27000</v>
      </c>
      <c r="H8" s="13"/>
      <c r="I8" s="13"/>
      <c r="J8" s="13"/>
    </row>
    <row r="9" spans="1:10" ht="50.25" customHeight="1" x14ac:dyDescent="0.25">
      <c r="A9" s="8">
        <v>2</v>
      </c>
      <c r="B9" s="9" t="s">
        <v>98</v>
      </c>
      <c r="C9" s="9" t="s">
        <v>99</v>
      </c>
      <c r="D9" s="8">
        <v>192</v>
      </c>
      <c r="E9" s="10" t="s">
        <v>100</v>
      </c>
      <c r="F9" s="22">
        <v>80</v>
      </c>
      <c r="G9" s="22">
        <f t="shared" si="1"/>
        <v>15360</v>
      </c>
      <c r="H9" s="22"/>
      <c r="I9" s="22"/>
      <c r="J9" s="22"/>
    </row>
    <row r="10" spans="1:10" ht="50.25" customHeight="1" x14ac:dyDescent="0.25">
      <c r="A10" s="8">
        <v>3</v>
      </c>
      <c r="B10" s="24" t="s">
        <v>101</v>
      </c>
      <c r="C10" s="9" t="s">
        <v>102</v>
      </c>
      <c r="D10" s="8">
        <v>144</v>
      </c>
      <c r="E10" s="9" t="s">
        <v>103</v>
      </c>
      <c r="F10" s="22">
        <v>45</v>
      </c>
      <c r="G10" s="22">
        <f t="shared" si="1"/>
        <v>6480</v>
      </c>
      <c r="H10" s="22"/>
      <c r="I10" s="22"/>
      <c r="J10" s="22"/>
    </row>
    <row r="11" spans="1:10" ht="37.5" customHeight="1" x14ac:dyDescent="0.25">
      <c r="A11" s="21">
        <v>4</v>
      </c>
      <c r="B11" s="9" t="s">
        <v>104</v>
      </c>
      <c r="C11" s="23" t="s">
        <v>105</v>
      </c>
      <c r="D11" s="21">
        <v>300</v>
      </c>
      <c r="E11" s="23" t="s">
        <v>106</v>
      </c>
      <c r="F11" s="13">
        <v>80</v>
      </c>
      <c r="G11" s="13">
        <f t="shared" si="1"/>
        <v>24000</v>
      </c>
      <c r="H11" s="13"/>
      <c r="I11" s="13"/>
      <c r="J11" s="13"/>
    </row>
    <row r="12" spans="1:10" ht="15" customHeight="1" x14ac:dyDescent="0.25">
      <c r="A12" s="8">
        <v>5</v>
      </c>
      <c r="B12" s="9" t="s">
        <v>107</v>
      </c>
      <c r="C12" s="9" t="s">
        <v>108</v>
      </c>
      <c r="D12" s="8">
        <v>64</v>
      </c>
      <c r="E12" s="9" t="s">
        <v>109</v>
      </c>
      <c r="F12" s="14">
        <v>40</v>
      </c>
      <c r="G12" s="14">
        <f t="shared" si="1"/>
        <v>2560</v>
      </c>
      <c r="H12" s="14"/>
      <c r="I12" s="14"/>
      <c r="J12" s="14"/>
    </row>
    <row r="13" spans="1:10" ht="15" customHeight="1" x14ac:dyDescent="0.25">
      <c r="A13" s="8">
        <v>6</v>
      </c>
      <c r="B13" s="9" t="s">
        <v>110</v>
      </c>
      <c r="C13" s="9" t="s">
        <v>111</v>
      </c>
      <c r="D13" s="8">
        <v>32</v>
      </c>
      <c r="E13" s="9" t="s">
        <v>112</v>
      </c>
      <c r="F13" s="14">
        <v>40</v>
      </c>
      <c r="G13" s="14">
        <f t="shared" si="1"/>
        <v>1280</v>
      </c>
      <c r="H13" s="14"/>
      <c r="I13" s="14"/>
      <c r="J13" s="14"/>
    </row>
    <row r="14" spans="1:10" ht="15" customHeight="1" x14ac:dyDescent="0.25">
      <c r="A14" s="8">
        <v>7</v>
      </c>
      <c r="B14" s="9" t="s">
        <v>113</v>
      </c>
      <c r="C14" s="9" t="s">
        <v>114</v>
      </c>
      <c r="D14" s="8">
        <v>32</v>
      </c>
      <c r="E14" s="9" t="s">
        <v>115</v>
      </c>
      <c r="F14" s="14">
        <v>40</v>
      </c>
      <c r="G14" s="14">
        <f t="shared" si="1"/>
        <v>1280</v>
      </c>
      <c r="H14" s="14"/>
      <c r="I14" s="14"/>
      <c r="J14" s="14"/>
    </row>
    <row r="15" spans="1:10" ht="15" customHeight="1" x14ac:dyDescent="0.25">
      <c r="A15" s="8">
        <v>8</v>
      </c>
      <c r="B15" s="9" t="s">
        <v>116</v>
      </c>
      <c r="C15" s="9" t="s">
        <v>117</v>
      </c>
      <c r="D15" s="8">
        <v>32</v>
      </c>
      <c r="E15" s="9" t="s">
        <v>118</v>
      </c>
      <c r="F15" s="14">
        <v>40</v>
      </c>
      <c r="G15" s="14">
        <f t="shared" si="1"/>
        <v>1280</v>
      </c>
      <c r="H15" s="14"/>
      <c r="I15" s="14"/>
      <c r="J15" s="14"/>
    </row>
    <row r="16" spans="1:10" ht="15" customHeight="1" x14ac:dyDescent="0.25">
      <c r="A16" s="16"/>
      <c r="B16" s="17" t="s">
        <v>119</v>
      </c>
      <c r="C16" s="16"/>
      <c r="D16" s="16"/>
      <c r="E16" s="16"/>
      <c r="F16" s="16"/>
      <c r="G16" s="19">
        <v>208740</v>
      </c>
      <c r="H16" s="16"/>
      <c r="I16" s="16"/>
      <c r="J16" s="16"/>
    </row>
    <row r="17" spans="1:10" ht="15" customHeight="1" x14ac:dyDescent="0.25">
      <c r="A17" s="5" t="s">
        <v>120</v>
      </c>
      <c r="B17" s="5" t="s">
        <v>121</v>
      </c>
      <c r="C17" s="6"/>
      <c r="D17" s="6"/>
      <c r="E17" s="6"/>
      <c r="F17" s="6"/>
      <c r="G17" s="6"/>
      <c r="H17" s="6"/>
      <c r="I17" s="6"/>
      <c r="J17" s="6"/>
    </row>
    <row r="18" spans="1:10" ht="38.25" customHeight="1" x14ac:dyDescent="0.25">
      <c r="A18" s="21">
        <v>1</v>
      </c>
      <c r="B18" s="9" t="s">
        <v>122</v>
      </c>
      <c r="C18" s="23" t="s">
        <v>123</v>
      </c>
      <c r="D18" s="21">
        <v>160</v>
      </c>
      <c r="E18" s="23" t="s">
        <v>124</v>
      </c>
      <c r="F18" s="13">
        <v>150</v>
      </c>
      <c r="G18" s="13">
        <f>F18*D18</f>
        <v>24000</v>
      </c>
      <c r="H18" s="13"/>
      <c r="I18" s="13"/>
      <c r="J18" s="13"/>
    </row>
    <row r="19" spans="1:10" ht="15" customHeight="1" x14ac:dyDescent="0.25">
      <c r="A19" s="8">
        <v>2</v>
      </c>
      <c r="B19" s="9" t="s">
        <v>125</v>
      </c>
      <c r="C19" s="9" t="s">
        <v>126</v>
      </c>
      <c r="D19" s="8">
        <v>2</v>
      </c>
      <c r="E19" s="9" t="s">
        <v>127</v>
      </c>
      <c r="F19" s="14"/>
      <c r="G19" s="41">
        <v>35000</v>
      </c>
      <c r="H19" s="14"/>
      <c r="I19" s="14"/>
      <c r="J19" s="14"/>
    </row>
    <row r="20" spans="1:10" ht="15" customHeight="1" x14ac:dyDescent="0.25">
      <c r="A20" s="8">
        <v>3</v>
      </c>
      <c r="B20" s="9" t="s">
        <v>128</v>
      </c>
      <c r="C20" s="9" t="s">
        <v>129</v>
      </c>
      <c r="D20" s="8">
        <v>4</v>
      </c>
      <c r="E20" s="9" t="s">
        <v>130</v>
      </c>
      <c r="F20" s="14"/>
      <c r="G20" s="42"/>
      <c r="H20" s="14"/>
      <c r="I20" s="14"/>
      <c r="J20" s="14"/>
    </row>
    <row r="21" spans="1:10" ht="25.5" customHeight="1" x14ac:dyDescent="0.25">
      <c r="A21" s="8">
        <v>4</v>
      </c>
      <c r="B21" s="10" t="s">
        <v>131</v>
      </c>
      <c r="C21" s="9" t="s">
        <v>132</v>
      </c>
      <c r="D21" s="8">
        <v>4</v>
      </c>
      <c r="E21" s="9" t="s">
        <v>133</v>
      </c>
      <c r="F21" s="13"/>
      <c r="G21" s="42"/>
      <c r="H21" s="13"/>
      <c r="I21" s="13"/>
      <c r="J21" s="13"/>
    </row>
    <row r="22" spans="1:10" ht="15" customHeight="1" x14ac:dyDescent="0.25">
      <c r="A22" s="8">
        <v>5</v>
      </c>
      <c r="B22" s="9" t="s">
        <v>134</v>
      </c>
      <c r="C22" s="9" t="s">
        <v>135</v>
      </c>
      <c r="D22" s="8">
        <v>2</v>
      </c>
      <c r="E22" s="9" t="s">
        <v>136</v>
      </c>
      <c r="F22" s="14"/>
      <c r="G22" s="42"/>
      <c r="H22" s="14"/>
      <c r="I22" s="14"/>
      <c r="J22" s="14"/>
    </row>
    <row r="23" spans="1:10" ht="15" customHeight="1" x14ac:dyDescent="0.25">
      <c r="A23" s="8">
        <v>6</v>
      </c>
      <c r="B23" s="9" t="s">
        <v>137</v>
      </c>
      <c r="C23" s="9" t="s">
        <v>138</v>
      </c>
      <c r="D23" s="8">
        <v>4</v>
      </c>
      <c r="E23" s="9" t="s">
        <v>139</v>
      </c>
      <c r="F23" s="14"/>
      <c r="G23" s="42"/>
      <c r="H23" s="14"/>
      <c r="I23" s="14"/>
      <c r="J23" s="14"/>
    </row>
    <row r="24" spans="1:10" ht="15" customHeight="1" x14ac:dyDescent="0.25">
      <c r="A24" s="8">
        <v>7</v>
      </c>
      <c r="B24" s="9" t="s">
        <v>140</v>
      </c>
      <c r="C24" s="9" t="s">
        <v>141</v>
      </c>
      <c r="D24" s="8">
        <v>1</v>
      </c>
      <c r="E24" s="9" t="s">
        <v>142</v>
      </c>
      <c r="F24" s="14"/>
      <c r="G24" s="42"/>
      <c r="H24" s="14"/>
      <c r="I24" s="14"/>
      <c r="J24" s="14"/>
    </row>
    <row r="25" spans="1:10" ht="15" customHeight="1" x14ac:dyDescent="0.25">
      <c r="A25" s="8">
        <v>8</v>
      </c>
      <c r="B25" s="9" t="s">
        <v>143</v>
      </c>
      <c r="C25" s="9" t="s">
        <v>144</v>
      </c>
      <c r="D25" s="8">
        <v>1</v>
      </c>
      <c r="E25" s="9" t="s">
        <v>145</v>
      </c>
      <c r="F25" s="14"/>
      <c r="G25" s="42"/>
      <c r="H25" s="14"/>
      <c r="I25" s="14"/>
      <c r="J25" s="14"/>
    </row>
    <row r="26" spans="1:10" ht="15" customHeight="1" x14ac:dyDescent="0.25">
      <c r="A26" s="8">
        <v>9</v>
      </c>
      <c r="B26" s="9" t="s">
        <v>146</v>
      </c>
      <c r="C26" s="9" t="s">
        <v>147</v>
      </c>
      <c r="D26" s="8">
        <v>1</v>
      </c>
      <c r="E26" s="9" t="s">
        <v>148</v>
      </c>
      <c r="F26" s="14"/>
      <c r="G26" s="43"/>
      <c r="H26" s="14"/>
      <c r="I26" s="14"/>
      <c r="J26" s="14"/>
    </row>
    <row r="27" spans="1:10" ht="25.5" customHeight="1" x14ac:dyDescent="0.25">
      <c r="A27" s="8">
        <v>10</v>
      </c>
      <c r="B27" s="10" t="s">
        <v>149</v>
      </c>
      <c r="C27" s="9" t="s">
        <v>150</v>
      </c>
      <c r="D27" s="8">
        <v>224</v>
      </c>
      <c r="E27" s="9" t="s">
        <v>151</v>
      </c>
      <c r="F27" s="13"/>
      <c r="G27" s="12">
        <v>9000</v>
      </c>
      <c r="H27" s="13"/>
      <c r="I27" s="13"/>
      <c r="J27" s="13"/>
    </row>
    <row r="28" spans="1:10" ht="15" customHeight="1" x14ac:dyDescent="0.25">
      <c r="A28" s="8">
        <v>11</v>
      </c>
      <c r="B28" s="9" t="s">
        <v>152</v>
      </c>
      <c r="C28" s="9" t="s">
        <v>153</v>
      </c>
      <c r="D28" s="8">
        <v>12</v>
      </c>
      <c r="E28" s="9" t="s">
        <v>154</v>
      </c>
      <c r="F28" s="14">
        <v>350</v>
      </c>
      <c r="G28" s="14">
        <f t="shared" ref="G28:G29" si="2">F28*D28</f>
        <v>4200</v>
      </c>
      <c r="H28" s="14"/>
      <c r="I28" s="14"/>
      <c r="J28" s="14"/>
    </row>
    <row r="29" spans="1:10" ht="15" customHeight="1" x14ac:dyDescent="0.25">
      <c r="A29" s="8">
        <v>12</v>
      </c>
      <c r="B29" s="9" t="s">
        <v>155</v>
      </c>
      <c r="C29" s="9" t="s">
        <v>156</v>
      </c>
      <c r="D29" s="8">
        <v>6</v>
      </c>
      <c r="E29" s="9" t="s">
        <v>157</v>
      </c>
      <c r="F29" s="14">
        <v>450</v>
      </c>
      <c r="G29" s="14">
        <f t="shared" si="2"/>
        <v>2700</v>
      </c>
      <c r="H29" s="14"/>
      <c r="I29" s="14"/>
      <c r="J29" s="14"/>
    </row>
    <row r="30" spans="1:10" ht="25.5" customHeight="1" x14ac:dyDescent="0.25">
      <c r="A30" s="8">
        <v>13</v>
      </c>
      <c r="B30" s="10" t="s">
        <v>158</v>
      </c>
      <c r="C30" s="9" t="s">
        <v>159</v>
      </c>
      <c r="D30" s="8">
        <v>1</v>
      </c>
      <c r="E30" s="9" t="s">
        <v>160</v>
      </c>
      <c r="F30" s="13">
        <v>8000</v>
      </c>
      <c r="G30" s="12">
        <v>8000</v>
      </c>
      <c r="H30" s="13"/>
      <c r="I30" s="13"/>
      <c r="J30" s="13"/>
    </row>
    <row r="31" spans="1:10" ht="15" customHeight="1" x14ac:dyDescent="0.25">
      <c r="A31" s="8">
        <v>14</v>
      </c>
      <c r="B31" s="9" t="s">
        <v>161</v>
      </c>
      <c r="C31" s="9" t="s">
        <v>162</v>
      </c>
      <c r="D31" s="8">
        <v>4</v>
      </c>
      <c r="E31" s="9" t="s">
        <v>163</v>
      </c>
      <c r="F31" s="14">
        <v>450</v>
      </c>
      <c r="G31" s="14">
        <f t="shared" ref="G31:G33" si="3">F31*D31</f>
        <v>1800</v>
      </c>
      <c r="H31" s="14"/>
      <c r="I31" s="14"/>
      <c r="J31" s="14"/>
    </row>
    <row r="32" spans="1:10" ht="37.5" customHeight="1" x14ac:dyDescent="0.25">
      <c r="A32" s="21">
        <v>15</v>
      </c>
      <c r="B32" s="9" t="s">
        <v>164</v>
      </c>
      <c r="C32" s="23" t="s">
        <v>165</v>
      </c>
      <c r="D32" s="21">
        <v>2</v>
      </c>
      <c r="E32" s="23" t="s">
        <v>166</v>
      </c>
      <c r="F32" s="13">
        <v>18000</v>
      </c>
      <c r="G32" s="13">
        <f t="shared" si="3"/>
        <v>36000</v>
      </c>
      <c r="H32" s="13"/>
      <c r="I32" s="13"/>
      <c r="J32" s="13"/>
    </row>
    <row r="33" spans="1:10" ht="37.5" customHeight="1" x14ac:dyDescent="0.25">
      <c r="A33" s="21">
        <v>16</v>
      </c>
      <c r="B33" s="9" t="s">
        <v>167</v>
      </c>
      <c r="C33" s="23" t="s">
        <v>168</v>
      </c>
      <c r="D33" s="21">
        <v>2</v>
      </c>
      <c r="E33" s="23" t="s">
        <v>169</v>
      </c>
      <c r="F33" s="13">
        <v>30000</v>
      </c>
      <c r="G33" s="13">
        <f t="shared" si="3"/>
        <v>60000</v>
      </c>
      <c r="H33" s="13"/>
      <c r="I33" s="13"/>
      <c r="J33" s="13"/>
    </row>
    <row r="34" spans="1:10" ht="25.5" customHeight="1" x14ac:dyDescent="0.25">
      <c r="A34" s="25"/>
      <c r="B34" s="26" t="s">
        <v>170</v>
      </c>
      <c r="C34" s="25"/>
      <c r="D34" s="25"/>
      <c r="E34" s="25"/>
      <c r="F34" s="25"/>
      <c r="G34" s="27">
        <v>180700</v>
      </c>
      <c r="H34" s="25"/>
      <c r="I34" s="25"/>
      <c r="J34" s="25"/>
    </row>
    <row r="35" spans="1:10" ht="15" customHeight="1" x14ac:dyDescent="0.25">
      <c r="A35" s="5" t="s">
        <v>171</v>
      </c>
      <c r="B35" s="40" t="s">
        <v>172</v>
      </c>
      <c r="C35" s="35"/>
      <c r="D35" s="35"/>
      <c r="E35" s="35"/>
      <c r="F35" s="35"/>
      <c r="G35" s="36"/>
      <c r="H35" s="6"/>
      <c r="I35" s="6"/>
      <c r="J35" s="6"/>
    </row>
    <row r="36" spans="1:10" ht="15" customHeight="1" x14ac:dyDescent="0.25">
      <c r="A36" s="8">
        <v>1</v>
      </c>
      <c r="B36" s="9" t="s">
        <v>173</v>
      </c>
      <c r="C36" s="9" t="s">
        <v>174</v>
      </c>
      <c r="D36" s="8">
        <v>2</v>
      </c>
      <c r="E36" s="9" t="s">
        <v>175</v>
      </c>
      <c r="F36" s="14">
        <v>1800</v>
      </c>
      <c r="G36" s="14">
        <f t="shared" ref="G36:G46" si="4">F36*D36</f>
        <v>3600</v>
      </c>
      <c r="H36" s="14"/>
      <c r="I36" s="14"/>
      <c r="J36" s="14"/>
    </row>
    <row r="37" spans="1:10" ht="15" customHeight="1" x14ac:dyDescent="0.25">
      <c r="A37" s="8">
        <v>2</v>
      </c>
      <c r="B37" s="9" t="s">
        <v>176</v>
      </c>
      <c r="C37" s="9" t="s">
        <v>177</v>
      </c>
      <c r="D37" s="8">
        <v>4</v>
      </c>
      <c r="E37" s="9" t="s">
        <v>178</v>
      </c>
      <c r="F37" s="14">
        <v>1500</v>
      </c>
      <c r="G37" s="14">
        <f t="shared" si="4"/>
        <v>6000</v>
      </c>
      <c r="H37" s="14"/>
      <c r="I37" s="14"/>
      <c r="J37" s="14"/>
    </row>
    <row r="38" spans="1:10" ht="15" customHeight="1" x14ac:dyDescent="0.25">
      <c r="A38" s="8">
        <v>3</v>
      </c>
      <c r="B38" s="9" t="s">
        <v>179</v>
      </c>
      <c r="C38" s="9" t="s">
        <v>180</v>
      </c>
      <c r="D38" s="8">
        <v>8</v>
      </c>
      <c r="E38" s="9" t="s">
        <v>181</v>
      </c>
      <c r="F38" s="14">
        <v>1500</v>
      </c>
      <c r="G38" s="14">
        <f t="shared" si="4"/>
        <v>12000</v>
      </c>
      <c r="H38" s="14"/>
      <c r="I38" s="14"/>
      <c r="J38" s="14"/>
    </row>
    <row r="39" spans="1:10" ht="25.5" customHeight="1" x14ac:dyDescent="0.25">
      <c r="A39" s="8">
        <v>4</v>
      </c>
      <c r="B39" s="10" t="s">
        <v>182</v>
      </c>
      <c r="C39" s="9" t="s">
        <v>183</v>
      </c>
      <c r="D39" s="8">
        <v>2</v>
      </c>
      <c r="E39" s="9" t="s">
        <v>184</v>
      </c>
      <c r="F39" s="13">
        <v>45000</v>
      </c>
      <c r="G39" s="13">
        <f t="shared" si="4"/>
        <v>90000</v>
      </c>
      <c r="H39" s="13"/>
      <c r="I39" s="13"/>
      <c r="J39" s="13"/>
    </row>
    <row r="40" spans="1:10" ht="15" customHeight="1" x14ac:dyDescent="0.25">
      <c r="A40" s="8">
        <v>5</v>
      </c>
      <c r="B40" s="9" t="s">
        <v>185</v>
      </c>
      <c r="C40" s="9" t="s">
        <v>186</v>
      </c>
      <c r="D40" s="8">
        <v>6</v>
      </c>
      <c r="E40" s="9" t="s">
        <v>187</v>
      </c>
      <c r="F40" s="14">
        <v>1800</v>
      </c>
      <c r="G40" s="14">
        <f t="shared" si="4"/>
        <v>10800</v>
      </c>
      <c r="H40" s="14"/>
      <c r="I40" s="14"/>
      <c r="J40" s="14"/>
    </row>
    <row r="41" spans="1:10" ht="25.5" customHeight="1" x14ac:dyDescent="0.25">
      <c r="A41" s="8">
        <v>6</v>
      </c>
      <c r="B41" s="10" t="s">
        <v>188</v>
      </c>
      <c r="C41" s="9" t="s">
        <v>189</v>
      </c>
      <c r="D41" s="8">
        <v>4</v>
      </c>
      <c r="E41" s="9" t="s">
        <v>190</v>
      </c>
      <c r="F41" s="13">
        <v>2500</v>
      </c>
      <c r="G41" s="13">
        <f t="shared" si="4"/>
        <v>10000</v>
      </c>
      <c r="H41" s="13"/>
      <c r="I41" s="13"/>
      <c r="J41" s="13"/>
    </row>
    <row r="42" spans="1:10" ht="25.5" customHeight="1" x14ac:dyDescent="0.25">
      <c r="A42" s="8">
        <v>7</v>
      </c>
      <c r="B42" s="10" t="s">
        <v>191</v>
      </c>
      <c r="C42" s="9" t="s">
        <v>192</v>
      </c>
      <c r="D42" s="8">
        <v>400</v>
      </c>
      <c r="E42" s="9" t="s">
        <v>193</v>
      </c>
      <c r="F42" s="13">
        <v>200</v>
      </c>
      <c r="G42" s="13">
        <f t="shared" si="4"/>
        <v>80000</v>
      </c>
      <c r="H42" s="13"/>
      <c r="I42" s="13"/>
      <c r="J42" s="13"/>
    </row>
    <row r="43" spans="1:10" ht="15" customHeight="1" x14ac:dyDescent="0.25">
      <c r="A43" s="8">
        <v>8</v>
      </c>
      <c r="B43" s="9" t="s">
        <v>194</v>
      </c>
      <c r="C43" s="9" t="s">
        <v>195</v>
      </c>
      <c r="D43" s="8">
        <v>400</v>
      </c>
      <c r="E43" s="9" t="s">
        <v>196</v>
      </c>
      <c r="F43" s="14">
        <v>550</v>
      </c>
      <c r="G43" s="14">
        <f t="shared" si="4"/>
        <v>220000</v>
      </c>
      <c r="H43" s="14"/>
      <c r="I43" s="14"/>
      <c r="J43" s="14"/>
    </row>
    <row r="44" spans="1:10" ht="25.5" customHeight="1" x14ac:dyDescent="0.25">
      <c r="A44" s="8">
        <v>9</v>
      </c>
      <c r="B44" s="10" t="s">
        <v>197</v>
      </c>
      <c r="C44" s="9" t="s">
        <v>198</v>
      </c>
      <c r="D44" s="8">
        <v>600</v>
      </c>
      <c r="E44" s="9" t="s">
        <v>199</v>
      </c>
      <c r="F44" s="13">
        <v>10</v>
      </c>
      <c r="G44" s="13">
        <f t="shared" si="4"/>
        <v>6000</v>
      </c>
      <c r="H44" s="13"/>
      <c r="I44" s="13"/>
      <c r="J44" s="13"/>
    </row>
    <row r="45" spans="1:10" ht="38.25" customHeight="1" x14ac:dyDescent="0.25">
      <c r="A45" s="21">
        <v>10</v>
      </c>
      <c r="B45" s="24" t="s">
        <v>200</v>
      </c>
      <c r="C45" s="23" t="s">
        <v>201</v>
      </c>
      <c r="D45" s="21">
        <v>8</v>
      </c>
      <c r="E45" s="10" t="s">
        <v>202</v>
      </c>
      <c r="F45" s="13">
        <v>4000</v>
      </c>
      <c r="G45" s="13">
        <f t="shared" si="4"/>
        <v>32000</v>
      </c>
      <c r="H45" s="13"/>
      <c r="I45" s="13"/>
      <c r="J45" s="13"/>
    </row>
    <row r="46" spans="1:10" ht="37.5" customHeight="1" x14ac:dyDescent="0.25">
      <c r="A46" s="21">
        <v>11</v>
      </c>
      <c r="B46" s="9" t="s">
        <v>203</v>
      </c>
      <c r="C46" s="23" t="s">
        <v>204</v>
      </c>
      <c r="D46" s="21">
        <v>8</v>
      </c>
      <c r="E46" s="10" t="s">
        <v>205</v>
      </c>
      <c r="F46" s="13">
        <v>6000</v>
      </c>
      <c r="G46" s="13">
        <f t="shared" si="4"/>
        <v>48000</v>
      </c>
      <c r="H46" s="13"/>
      <c r="I46" s="13"/>
      <c r="J46" s="13"/>
    </row>
    <row r="47" spans="1:10" ht="23.25" customHeight="1" x14ac:dyDescent="0.25">
      <c r="A47" s="25"/>
      <c r="B47" s="28" t="s">
        <v>206</v>
      </c>
      <c r="C47" s="25"/>
      <c r="D47" s="25"/>
      <c r="E47" s="25"/>
      <c r="F47" s="25"/>
      <c r="G47" s="25"/>
      <c r="H47" s="25"/>
      <c r="I47" s="25"/>
      <c r="J47" s="25"/>
    </row>
    <row r="48" spans="1:10" ht="23.25" customHeight="1" x14ac:dyDescent="0.25">
      <c r="A48" s="25"/>
      <c r="B48" s="29" t="s">
        <v>207</v>
      </c>
      <c r="C48" s="30"/>
      <c r="D48" s="30"/>
      <c r="E48" s="30"/>
      <c r="F48" s="30"/>
      <c r="G48" s="30">
        <v>45000</v>
      </c>
      <c r="H48" s="30"/>
      <c r="I48" s="31"/>
      <c r="J48" s="25"/>
    </row>
    <row r="49" spans="1:10" ht="12.75" customHeight="1" x14ac:dyDescent="0.25">
      <c r="A49" s="14"/>
      <c r="B49" s="37"/>
      <c r="C49" s="35"/>
      <c r="D49" s="35"/>
      <c r="E49" s="35"/>
      <c r="F49" s="35"/>
      <c r="G49" s="35"/>
      <c r="H49" s="35"/>
      <c r="I49" s="36"/>
      <c r="J49" s="14"/>
    </row>
    <row r="50" spans="1:10" ht="12.75" customHeight="1" x14ac:dyDescent="0.25">
      <c r="A50" s="6"/>
      <c r="B50" s="39"/>
      <c r="C50" s="35"/>
      <c r="D50" s="35"/>
      <c r="E50" s="35"/>
      <c r="F50" s="35"/>
      <c r="G50" s="35"/>
      <c r="H50" s="35"/>
      <c r="I50" s="35"/>
      <c r="J50" s="36"/>
    </row>
    <row r="51" spans="1:10" ht="12.75" customHeight="1" x14ac:dyDescent="0.25"/>
    <row r="52" spans="1:10" ht="12.75" customHeight="1" x14ac:dyDescent="0.25"/>
    <row r="53" spans="1:10" ht="12.75" customHeight="1" x14ac:dyDescent="0.25"/>
    <row r="54" spans="1:10" ht="12.75" customHeight="1" x14ac:dyDescent="0.25"/>
    <row r="55" spans="1:10" ht="12.75" customHeight="1" x14ac:dyDescent="0.25"/>
    <row r="56" spans="1:10" ht="12.75" customHeight="1" x14ac:dyDescent="0.25"/>
    <row r="57" spans="1:10" ht="12.75" customHeight="1" x14ac:dyDescent="0.25"/>
    <row r="58" spans="1:10" ht="12.75" customHeight="1" x14ac:dyDescent="0.25"/>
    <row r="59" spans="1:10" ht="12.75" customHeight="1" x14ac:dyDescent="0.25"/>
    <row r="60" spans="1:10" ht="12.75" customHeight="1" x14ac:dyDescent="0.25"/>
    <row r="61" spans="1:10" ht="12.75" customHeight="1" x14ac:dyDescent="0.25"/>
    <row r="62" spans="1:10" ht="12.75" customHeight="1" x14ac:dyDescent="0.25"/>
    <row r="63" spans="1:10" ht="12.75" customHeight="1" x14ac:dyDescent="0.25"/>
    <row r="64" spans="1:10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4">
    <mergeCell ref="B35:G35"/>
    <mergeCell ref="B49:I49"/>
    <mergeCell ref="B50:J50"/>
    <mergeCell ref="G19:G2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917002265473</dc:creator>
  <cp:lastModifiedBy>Bishal Barman</cp:lastModifiedBy>
  <dcterms:created xsi:type="dcterms:W3CDTF">2026-01-08T07:09:18Z</dcterms:created>
  <dcterms:modified xsi:type="dcterms:W3CDTF">2026-01-08T08:59:19Z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2026-01-07T00:00:00Z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2026-01-08T00:00:00Z</vt:filetime>
  </property>
  <property fmtid="{D5CDD505-2E9C-101B-9397-08002B2CF9AE}" pid="5" name="Producer">
    <vt:lpwstr>www.smallpdf.com</vt:lpwstr>
  </property>
</Properties>
</file>